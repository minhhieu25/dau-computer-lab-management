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ập Trình Mạng\Docs\"/>
    </mc:Choice>
  </mc:AlternateContent>
  <xr:revisionPtr revIDLastSave="0" documentId="13_ncr:1_{B096D2CA-851B-4CF3-AF66-568B81D37FED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Danh mục mô đun" sheetId="2" r:id="rId1"/>
    <sheet name="Phân hệ chức năng" sheetId="1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</calcChain>
</file>

<file path=xl/sharedStrings.xml><?xml version="1.0" encoding="utf-8"?>
<sst xmlns="http://schemas.openxmlformats.org/spreadsheetml/2006/main" count="246" uniqueCount="167">
  <si>
    <t>Xác Định Các Phân Hệ Chức Hệ thống Quản lý &amp; Giám sát Máy tính Nội bộ Trường Đại học Kiến trúc Đà Nẵng</t>
  </si>
  <si>
    <t>STT</t>
  </si>
  <si>
    <t>TÊN PHÂN HỆ</t>
  </si>
  <si>
    <t>CHỨC NĂNG</t>
  </si>
  <si>
    <t>CHỨC NĂNG CON</t>
  </si>
  <si>
    <t>Input</t>
  </si>
  <si>
    <t>Output</t>
  </si>
  <si>
    <t>CHI TIẾT YÊU CẦU</t>
  </si>
  <si>
    <t>Giám sát phòng máy</t>
  </si>
  <si>
    <t>Hiển thị trạng thái</t>
  </si>
  <si>
    <t>Xem sơ đồ phòng máy</t>
  </si>
  <si>
    <t>Giám sát trạng thái</t>
  </si>
  <si>
    <t>M1</t>
  </si>
  <si>
    <t>Nhịp tim, RTT và tỷ lệ mất gói của từng máy sinh viên</t>
  </si>
  <si>
    <t>Sơ đồ lưới phòng máy đổi màu theo thời gian thực; RTT (ms) và tỷ lệ mất gói (%) hiện trên từng ô</t>
  </si>
  <si>
    <t>BR-01, BR-06, BR-08. [Server] Mỗi máy là một ô vuông. Xanh: nhịp tim đều, RTT &lt;= 100 ms, mất gói &lt;= 5%. Vàng: mất 1-2 nhịp liên tiếp, hoặc RTT &gt; 100 ms, hoặc mất gói &gt; 5%. Đỏ (Offline): mất 3 nhịp liên tiếp (khoảng 30 giây). Chạy ngầm: Server phát beacon UDP Broadcast; Client nhận beacon, kết nối TCP, báo danh và tự kết nối lại khi rớt mạng; Client gửi nhịp tim UDP mỗi 10 giây kèm RTT, Server trả ACK và đếm mất gói.</t>
  </si>
  <si>
    <t>Khóa/Mở khóa màn hình</t>
  </si>
  <si>
    <t>Khóa/Mở khóa máy sinh viên</t>
  </si>
  <si>
    <t>Khóa màn hình</t>
  </si>
  <si>
    <t>M2</t>
  </si>
  <si>
    <t>Danh sách máy được chọn; lệnh khóa; nội dung thông báo chữ</t>
  </si>
  <si>
    <t>Máy sinh viên hiện lớp phủ đen kèm thông báo, chuột/phím bị vô hiệu hóa</t>
  </si>
  <si>
    <t>BR-02, BR-06, BR-07. [Server] Giảng viên chọn một hoặc nhiều máy, nhập thông báo và phát lệnh qua TCP. [Client] Chỉ chặn chuột/phím, không ghi lại phím bấm. Chạy ngầm: lọc lệnh khóa bị gửi đúp; máy kết nối muộn mà thuộc danh sách khóa thì bị ép khóa ngay; tự nhả khóa khi mất 3 ACK liên tiếp (khoảng 30 giây) hoặc đứt kết nối TCP (fail-safe).</t>
  </si>
  <si>
    <t>Mở màn hình</t>
  </si>
  <si>
    <t>Danh sách máy được chọn; lệnh mở khóa</t>
  </si>
  <si>
    <t>Máy sinh viên được gỡ lớp phủ, trả quyền sử dụng chuột/phím</t>
  </si>
  <si>
    <t>BR-02. [Server] Giảng viên chọn máy và phát lệnh mở khóa qua TCP. [Client] Gỡ lớp phủ.</t>
  </si>
  <si>
    <t>Theo dõi tiến độ</t>
  </si>
  <si>
    <t>Xem bảng tiến độ khóa</t>
  </si>
  <si>
    <t>Phản hồi khóa thành công từ Client</t>
  </si>
  <si>
    <t>Bảng số máy đã khóa thành công trên tổng số máy được chọn</t>
  </si>
  <si>
    <t>BR-02. [Server] Đếm và báo cáo số máy đã khóa thành công.</t>
  </si>
  <si>
    <t>Trình chiếu và giám sát màn hình</t>
  </si>
  <si>
    <t>Trình chiếu</t>
  </si>
  <si>
    <t>Bắt đầu trình chiếu</t>
  </si>
  <si>
    <t>M3</t>
  </si>
  <si>
    <t>Lệnh Bắt đầu của giảng viên; màn hình giảng viên</t>
  </si>
  <si>
    <t>Màn hình sinh viên hiển thị bài giảng của giảng viên</t>
  </si>
  <si>
    <t>BR-03, BR-06, BR-07. [Server] Lệnh điều khiển đi qua TCP; luồng hình đi UDP Multicast (một luồng chung cho cả lớp). Chạy ngầm: bóp nén và chia mỗi khung hình thành nhiều gói mang số thứ tự Frame và Packet; Client ghép đủ gói thì hiển thị, thiếu gói hoặc đến trễ thì bỏ cả khung hình; Client bật Focus mode (chặn Alt+Tab, khóa chuột, không ghi phím bấm); Client đo tỷ lệ mất gói và báo về Server qua TCP. Switch cần bật IGMP snooping.</t>
  </si>
  <si>
    <t>Dừng trình chiếu</t>
  </si>
  <si>
    <t>Lệnh Dừng của giảng viên</t>
  </si>
  <si>
    <t>Máy sinh viên thoát chế độ trình chiếu, trả quyền sử dụng chuột/phím</t>
  </si>
  <si>
    <t>BR-03, BR-06. [Server] Phát lệnh TCP. Chạy ngầm: Client rời nhóm Multicast và thoát Focus mode; cũng tự thoát khi fail-safe.</t>
  </si>
  <si>
    <t>Giám sát và ghi hình</t>
  </si>
  <si>
    <t>Cảnh báo giám sát</t>
  </si>
  <si>
    <t>Giám sát màn hình</t>
  </si>
  <si>
    <t>M4</t>
  </si>
  <si>
    <t>Lệnh giám sát / ghi hình</t>
  </si>
  <si>
    <t>Icon "Đang bị giám sát màn hình" (đổi thành "Đang bị giám sát và ghi hình" khi có ghi hình)</t>
  </si>
  <si>
    <t>BR-07. [Client] Hiện suốt thời gian giám sát và tắt khi dừng hoặc khi fail-safe.</t>
  </si>
  <si>
    <t>Ghi hình</t>
  </si>
  <si>
    <t>Máy sinh viên được giảng viên chọn; lệnh Bắt đầu / Dừng ghi</t>
  </si>
  <si>
    <t>File [IP]_[ngày_giờ].mp4 (720p) lưu trên Server</t>
  </si>
  <si>
    <t>BR-03, BR-06, BR-07. [Server] Chỉ chạy khi giảng viên chủ động yêu cầu. Chạy ngầm: giảng viên xem trực tiếp (Live-view) màn hình máy được chọn; Client chụp màn hình, thu nhỏ về 720p (1280x720), 10 FPS, khoảng 2 Mbps và gửi UDP Unicast về Server (không máy sinh viên nào khác nhận được); Server lưu luồng đó thành file .mp4. Dữ liệu chỉ lưu trên Server, Client không lưu gì, không ghi âm. Mỗi lần bắt đầu ghi được ghi vào nhật ký.</t>
  </si>
  <si>
    <t>Đo lường</t>
  </si>
  <si>
    <t>Xem FPS, Mbps và mất gói</t>
  </si>
  <si>
    <t>Đo lường truyền tải</t>
  </si>
  <si>
    <t>M7</t>
  </si>
  <si>
    <t>Luồng hình ảnh Live-view; báo cáo mất gói trình chiếu từ Client</t>
  </si>
  <si>
    <t>FPS, băng thông (Mbps), tỷ lệ mất gói của từng luồng</t>
  </si>
  <si>
    <t>BR-08. [Server] Áp dụng cho cả luồng trình chiếu và Live-view. Với trình chiếu (Multicast), tỷ lệ mất gói do Client đo và báo về.</t>
  </si>
  <si>
    <t>Phát tài liệu</t>
  </si>
  <si>
    <t>Gửi và nhận đề bài</t>
  </si>
  <si>
    <t>Gửi file</t>
  </si>
  <si>
    <t>M5</t>
  </si>
  <si>
    <t>File đề bài (kể cả .zip, CAD, Revit); danh sách máy nhận</t>
  </si>
  <si>
    <t>File gửi qua TCP tới các máy nhận</t>
  </si>
  <si>
    <t>BR-04. [Server] Gửi tiêu đề (tên file, kích thước) rồi gửi dữ liệu. Không cắt, không ghép file.</t>
  </si>
  <si>
    <t>Nhận file</t>
  </si>
  <si>
    <t>Tiêu đề và dữ liệu file qua TCP</t>
  </si>
  <si>
    <t>Dữ liệu file được nhận đầy đủ trên máy sinh viên</t>
  </si>
  <si>
    <t>BR-04. [Client] Đọc tiêu đề để biết khi nào nhận đủ và tính % tiến độ.</t>
  </si>
  <si>
    <t>Lưu file</t>
  </si>
  <si>
    <t>Dữ liệu file đã nhận</t>
  </si>
  <si>
    <t>File trong D:\ThuMucDungChung\DeBai trên máy sinh viên</t>
  </si>
  <si>
    <t>BR-04, BR-07. [Client] Chỉ được ghi vào đúng thư mục này (sandbox).</t>
  </si>
  <si>
    <t>Xem % / Mbps / ETA</t>
  </si>
  <si>
    <t>Số byte đã gửi, tổng dung lượng, thời gian</t>
  </si>
  <si>
    <t>% hoàn thành, tốc độ (Mbps), thời gian dự kiến (ETA) của từng máy</t>
  </si>
  <si>
    <t>BR-04, BR-08. [Server] Quy đổi 1 MB/s = 8 Mbps.</t>
  </si>
  <si>
    <t>Thu bài</t>
  </si>
  <si>
    <t>Kích hoạt và nhận bài</t>
  </si>
  <si>
    <t>Kích hoạt thu bài</t>
  </si>
  <si>
    <t>M6</t>
  </si>
  <si>
    <t>Lệnh "Bắt đầu thu bài"; danh sách máy Online</t>
  </si>
  <si>
    <t>Lệnh TCP thu bài tới các máy; Client gửi file lên Server</t>
  </si>
  <si>
    <t>BR-05, BR-07. [Server] Phát lệnh đồng loạt tới các máy đang Online. Chạy ngầm: Client khóa thao tác chỉnh sửa thư mục nộp bài để chống gian lận, rồi gửi các file trong D:\ThuMucDungChung\NopBai qua TCP (tiêu đề rồi dữ liệu, không cắt ghép). Chỉ đọc đúng thư mục NopBai.</t>
  </si>
  <si>
    <t>Nhận file bài nộp</t>
  </si>
  <si>
    <t>Tiêu đề và dữ liệu file từ Client; IP máy sinh viên</t>
  </si>
  <si>
    <t>File [IP]_tên file lưu trên ổ cứng Server</t>
  </si>
  <si>
    <t>BR-05. [Server] Nhận file qua TCP theo tiêu đề. Chạy ngầm: tự đổi tên bằng cách gắn IP máy sinh viên vào trước tên file, ví dụ [192.168.1.15]_BaiTap.zip.</t>
  </si>
  <si>
    <t>Thống kê và đo lường</t>
  </si>
  <si>
    <t>Thống kê đã nộp/chưa nộp</t>
  </si>
  <si>
    <t>Trạng thái nộp của từng máy</t>
  </si>
  <si>
    <t>Bảng danh sách máy "Đã nộp" / "Chưa nộp"</t>
  </si>
  <si>
    <t>BR-05. [Server] Hiển thị cho giảng viên.</t>
  </si>
  <si>
    <t>Số byte đã nhận, tổng dung lượng, thời gian</t>
  </si>
  <si>
    <t>% hoàn thành, tốc độ (Mbps), ETA của từng máy đang nộp</t>
  </si>
  <si>
    <t>BR-05, BR-08. [Server] Giống phía phát tài liệu để hai chiều đối xứng.</t>
  </si>
  <si>
    <t>Quản lý tài khoản</t>
  </si>
  <si>
    <t>Xác thực</t>
  </si>
  <si>
    <t>Đăng nhập</t>
  </si>
  <si>
    <t>Tài khoản và phân quyền</t>
  </si>
  <si>
    <t>M8</t>
  </si>
  <si>
    <t>Tài khoản và mật khẩu</t>
  </si>
  <si>
    <t>Phiên đăng nhập; phần mềm hiển thị đúng chức năng theo vai trò</t>
  </si>
  <si>
    <t>BR-09. [Server] Mật khẩu lưu dưới dạng băm. Chạy ngầm: phân quyền theo vai trò. Giảng viên điều khiển lớp học; Admin quản lý tài khoản và file ghi hình, không điều khiển lớp học.</t>
  </si>
  <si>
    <t>Quản lý tài khoản giảng viên</t>
  </si>
  <si>
    <t>Tạo tài khoản</t>
  </si>
  <si>
    <t>Tên đăng nhập, họ tên, mật khẩu ban đầu</t>
  </si>
  <si>
    <t>Tài khoản Giảng viên mới</t>
  </si>
  <si>
    <t>BR-09. [Server] Do Admin thực hiện.</t>
  </si>
  <si>
    <t>Khóa tài khoản</t>
  </si>
  <si>
    <t>Tài khoản được chọn</t>
  </si>
  <si>
    <t>Tài khoản chuyển sang trạng thái bị khóa</t>
  </si>
  <si>
    <t>BR-09. [Server] Tài khoản bị khóa không đăng nhập được.</t>
  </si>
  <si>
    <t>Mở tài khoản</t>
  </si>
  <si>
    <t>Tài khoản chuyển sang trạng thái đang dùng</t>
  </si>
  <si>
    <t>Đổi mật khẩu</t>
  </si>
  <si>
    <t>Tài khoản; mật khẩu mới</t>
  </si>
  <si>
    <t>Mật khẩu được cập nhật</t>
  </si>
  <si>
    <t>BR-09. [Server] Admin đặt lại mật khẩu cho Giảng viên; mỗi người tự đổi mật khẩu của mình.</t>
  </si>
  <si>
    <t>Xóa tài khoản</t>
  </si>
  <si>
    <t>Tài khoản bị xóa khỏi danh sách</t>
  </si>
  <si>
    <t>Quản lý file ghi hình</t>
  </si>
  <si>
    <t>Quản lý file</t>
  </si>
  <si>
    <t>Xem danh sách file ghi hình</t>
  </si>
  <si>
    <t>M9</t>
  </si>
  <si>
    <t>Quyền của người dùng</t>
  </si>
  <si>
    <t>Danh sách file theo IP máy, ngày giờ, tài khoản đã ghi</t>
  </si>
  <si>
    <t>BR-10. [Server] Admin thấy tất cả; Giảng viên chỉ thấy file do mình ghi.</t>
  </si>
  <si>
    <t>Xem file ghi hình</t>
  </si>
  <si>
    <t>File được chọn</t>
  </si>
  <si>
    <t>Cửa sổ phát lại file</t>
  </si>
  <si>
    <t>BR-10. [Server] Mỗi lần xem được ghi vào nhật ký.</t>
  </si>
  <si>
    <t>Xóa file ghi hình</t>
  </si>
  <si>
    <t>File bị xóa</t>
  </si>
  <si>
    <t>BR-10. [Server] Do Admin thực hiện, được ghi vào nhật ký.</t>
  </si>
  <si>
    <t>Đặt thời hạn lưu và tự động xóa file</t>
  </si>
  <si>
    <t>Số ngày lưu do Admin đặt (mặc định 30 ngày)</t>
  </si>
  <si>
    <t>File quá hạn được tự động xóa</t>
  </si>
  <si>
    <t>BR-10. [Server] Server kiểm tra định kỳ và xóa file quá hạn.</t>
  </si>
  <si>
    <t>Nhật ký thao tác</t>
  </si>
  <si>
    <t>Xem nhật ký thao tác ghi hình</t>
  </si>
  <si>
    <t>Yêu cầu xem nhật ký của Admin</t>
  </si>
  <si>
    <t>Bảng nhật ký thao tác (ai, làm gì, lúc nào)</t>
  </si>
  <si>
    <t>BR-07, BR-10. [Server] Chỉ Admin xem. Chạy ngầm: hệ thống tự ghi nhật ký mỗi khi có người bắt đầu ghi, xem lại hoặc xóa file ghi hình.</t>
  </si>
  <si>
    <t>Mã</t>
  </si>
  <si>
    <t>Mục đích riêng</t>
  </si>
  <si>
    <t>Số chức năng</t>
  </si>
  <si>
    <t>Phụ thuộc (mô đun được gọi)</t>
  </si>
  <si>
    <t>Cho giảng viên biết máy nào đang hoạt động và chất lượng mạng từng máy</t>
  </si>
  <si>
    <t>Không</t>
  </si>
  <si>
    <t>Khóa và mở khóa màn hình máy sinh viên</t>
  </si>
  <si>
    <t>Phát màn hình giảng viên tới cả lớp</t>
  </si>
  <si>
    <t>M7, M8</t>
  </si>
  <si>
    <t>Giám sát, cảnh báo cho sinh viên và ghi hình màn hình sinh viên</t>
  </si>
  <si>
    <t>Thu bài nộp của sinh viên về Server và thống kê</t>
  </si>
  <si>
    <t>Tính các chỉ số truyền tải của luồng hình ảnh và file</t>
  </si>
  <si>
    <t>Quyết định ai được đăng nhập và được dùng chức năng nào</t>
  </si>
  <si>
    <t>Xem, xóa và kiểm soát file ghi hình do M4 tạo ra</t>
  </si>
  <si>
    <t>Tên module</t>
  </si>
  <si>
    <t>CHỨC NĂNG CON(Module)</t>
  </si>
  <si>
    <t>Mã module</t>
  </si>
  <si>
    <t>Danh Mục Module Hệ thống Quản lý &amp; Giám sát Máy tính Nội bộ Trường Đại học Kiến trúc Đà Nẵng</t>
  </si>
  <si>
    <t>M4, M8</t>
  </si>
  <si>
    <t>đẩy file về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</si>
</sst>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zoomScaleNormal="100" workbookViewId="0">
      <pane ySplit="2" topLeftCell="A3" activePane="bottomLeft" state="frozen"/>
      <selection pane="bottomLeft" activeCell="C7" sqref="C7"/>
    </sheetView>
  </sheetViews>
  <sheetFormatPr defaultColWidth="8.7109375" defaultRowHeight="15" x14ac:dyDescent="0.25"/>
  <cols>
    <col min="1" max="1" width="7" customWidth="1"/>
    <col min="2" max="2" width="26" customWidth="1"/>
    <col min="3" max="3" width="44" customWidth="1"/>
    <col min="4" max="4" width="12" customWidth="1"/>
    <col min="5" max="5" width="34" customWidth="1"/>
  </cols>
  <sheetData>
    <row r="1" spans="1:5" x14ac:dyDescent="0.25">
      <c r="A1" s="6" t="s">
        <v>164</v>
      </c>
      <c r="B1" s="6"/>
      <c r="C1" s="6"/>
      <c r="D1" s="6"/>
      <c r="E1" s="6"/>
    </row>
    <row r="2" spans="1:5" ht="30" x14ac:dyDescent="0.25">
      <c r="A2" s="2" t="s">
        <v>147</v>
      </c>
      <c r="B2" s="2" t="s">
        <v>161</v>
      </c>
      <c r="C2" s="2" t="s">
        <v>148</v>
      </c>
      <c r="D2" s="2" t="s">
        <v>149</v>
      </c>
      <c r="E2" s="2" t="s">
        <v>150</v>
      </c>
    </row>
    <row r="3" spans="1:5" ht="48" customHeight="1" x14ac:dyDescent="0.25">
      <c r="A3" s="5" t="s">
        <v>12</v>
      </c>
      <c r="B3" s="4" t="s">
        <v>11</v>
      </c>
      <c r="C3" s="4" t="s">
        <v>151</v>
      </c>
      <c r="D3" s="5">
        <f>COUNTIF('Phân hệ chức năng'!$F$3:$F$30,A3)</f>
        <v>1</v>
      </c>
      <c r="E3" s="4" t="s">
        <v>152</v>
      </c>
    </row>
    <row r="4" spans="1:5" ht="48" customHeight="1" x14ac:dyDescent="0.25">
      <c r="A4" s="5" t="s">
        <v>19</v>
      </c>
      <c r="B4" s="4" t="s">
        <v>18</v>
      </c>
      <c r="C4" s="4" t="s">
        <v>153</v>
      </c>
      <c r="D4" s="5">
        <f>COUNTIF('Phân hệ chức năng'!$F$3:$F$30,A4)</f>
        <v>3</v>
      </c>
      <c r="E4" s="4" t="s">
        <v>103</v>
      </c>
    </row>
    <row r="5" spans="1:5" ht="48" customHeight="1" x14ac:dyDescent="0.25">
      <c r="A5" s="5" t="s">
        <v>35</v>
      </c>
      <c r="B5" s="4" t="s">
        <v>33</v>
      </c>
      <c r="C5" s="4" t="s">
        <v>154</v>
      </c>
      <c r="D5" s="5">
        <f>COUNTIF('Phân hệ chức năng'!$F$3:$F$30,A5)</f>
        <v>2</v>
      </c>
      <c r="E5" s="4" t="s">
        <v>155</v>
      </c>
    </row>
    <row r="6" spans="1:5" ht="48" customHeight="1" x14ac:dyDescent="0.25">
      <c r="A6" s="5" t="s">
        <v>46</v>
      </c>
      <c r="B6" s="4" t="s">
        <v>45</v>
      </c>
      <c r="C6" s="4" t="s">
        <v>156</v>
      </c>
      <c r="D6" s="5">
        <f>COUNTIF('Phân hệ chức năng'!$F$3:$F$30,A6)</f>
        <v>2</v>
      </c>
      <c r="E6" s="4" t="s">
        <v>103</v>
      </c>
    </row>
    <row r="7" spans="1:5" ht="48" customHeight="1" x14ac:dyDescent="0.25">
      <c r="A7" s="5" t="s">
        <v>64</v>
      </c>
      <c r="B7" s="4" t="s">
        <v>61</v>
      </c>
      <c r="C7" s="4" t="s">
        <v>166</v>
      </c>
      <c r="D7" s="5">
        <f>COUNTIF('Phân hệ chức năng'!$F$3:$F$30,A7)</f>
        <v>3</v>
      </c>
      <c r="E7" s="4" t="s">
        <v>155</v>
      </c>
    </row>
    <row r="8" spans="1:5" ht="48" customHeight="1" x14ac:dyDescent="0.25">
      <c r="A8" s="5" t="s">
        <v>83</v>
      </c>
      <c r="B8" s="4" t="s">
        <v>80</v>
      </c>
      <c r="C8" s="4" t="s">
        <v>157</v>
      </c>
      <c r="D8" s="5">
        <f>COUNTIF('Phân hệ chức năng'!$F$3:$F$30,A8)</f>
        <v>3</v>
      </c>
      <c r="E8" s="4" t="s">
        <v>155</v>
      </c>
    </row>
    <row r="9" spans="1:5" ht="48" customHeight="1" x14ac:dyDescent="0.25">
      <c r="A9" s="5" t="s">
        <v>57</v>
      </c>
      <c r="B9" s="4" t="s">
        <v>56</v>
      </c>
      <c r="C9" s="4" t="s">
        <v>158</v>
      </c>
      <c r="D9" s="5">
        <f>COUNTIF('Phân hệ chức năng'!$F$3:$F$30,A9)</f>
        <v>3</v>
      </c>
      <c r="E9" s="4" t="s">
        <v>152</v>
      </c>
    </row>
    <row r="10" spans="1:5" ht="48" customHeight="1" x14ac:dyDescent="0.25">
      <c r="A10" s="5" t="s">
        <v>103</v>
      </c>
      <c r="B10" s="4" t="s">
        <v>102</v>
      </c>
      <c r="C10" s="4" t="s">
        <v>159</v>
      </c>
      <c r="D10" s="5">
        <f>COUNTIF('Phân hệ chức năng'!$F$3:$F$30,A10)</f>
        <v>6</v>
      </c>
      <c r="E10" s="4" t="s">
        <v>152</v>
      </c>
    </row>
    <row r="11" spans="1:5" ht="48" customHeight="1" x14ac:dyDescent="0.25">
      <c r="A11" s="5" t="s">
        <v>127</v>
      </c>
      <c r="B11" s="4" t="s">
        <v>124</v>
      </c>
      <c r="C11" s="4" t="s">
        <v>160</v>
      </c>
      <c r="D11" s="5">
        <f>COUNTIF('Phân hệ chức năng'!$F$3:$F$30,A11)</f>
        <v>5</v>
      </c>
      <c r="E11" s="4" t="s">
        <v>165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zoomScaleNormal="100" workbookViewId="0">
      <pane xSplit="3" ySplit="2" topLeftCell="D8" activePane="bottomRight" state="frozen"/>
      <selection pane="topRight" activeCell="D1" sqref="D1"/>
      <selection pane="bottomLeft" activeCell="A3" sqref="A3"/>
      <selection pane="bottomRight" activeCell="D34" sqref="D34"/>
    </sheetView>
  </sheetViews>
  <sheetFormatPr defaultColWidth="8.7109375" defaultRowHeight="15" x14ac:dyDescent="0.25"/>
  <cols>
    <col min="1" max="1" width="5" customWidth="1"/>
    <col min="2" max="3" width="24" customWidth="1"/>
    <col min="4" max="4" width="30" customWidth="1"/>
    <col min="5" max="5" width="22" customWidth="1"/>
    <col min="6" max="6" width="11" customWidth="1"/>
    <col min="7" max="7" width="34" customWidth="1"/>
    <col min="8" max="8" width="38" customWidth="1"/>
    <col min="9" max="9" width="70" customWidth="1"/>
  </cols>
  <sheetData>
    <row r="1" spans="1:9" s="1" customFormat="1" ht="31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162</v>
      </c>
      <c r="F2" s="2" t="s">
        <v>163</v>
      </c>
      <c r="G2" s="2" t="s">
        <v>5</v>
      </c>
      <c r="H2" s="2" t="s">
        <v>6</v>
      </c>
      <c r="I2" s="2" t="s">
        <v>7</v>
      </c>
    </row>
    <row r="3" spans="1:9" ht="93" customHeight="1" x14ac:dyDescent="0.25">
      <c r="A3" s="3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12</v>
      </c>
      <c r="G3" s="4" t="s">
        <v>13</v>
      </c>
      <c r="H3" s="4" t="s">
        <v>14</v>
      </c>
      <c r="I3" s="4" t="s">
        <v>15</v>
      </c>
    </row>
    <row r="4" spans="1:9" ht="78" customHeight="1" x14ac:dyDescent="0.25">
      <c r="A4" s="3">
        <v>2</v>
      </c>
      <c r="B4" s="7" t="s">
        <v>16</v>
      </c>
      <c r="C4" s="4" t="s">
        <v>17</v>
      </c>
      <c r="D4" s="4" t="s">
        <v>18</v>
      </c>
      <c r="E4" s="4" t="s">
        <v>18</v>
      </c>
      <c r="F4" s="5" t="s">
        <v>19</v>
      </c>
      <c r="G4" s="4" t="s">
        <v>20</v>
      </c>
      <c r="H4" s="4" t="s">
        <v>21</v>
      </c>
      <c r="I4" s="4" t="s">
        <v>22</v>
      </c>
    </row>
    <row r="5" spans="1:9" ht="33" customHeight="1" x14ac:dyDescent="0.25">
      <c r="A5" s="3">
        <v>3</v>
      </c>
      <c r="B5" s="7"/>
      <c r="C5" s="4" t="s">
        <v>17</v>
      </c>
      <c r="D5" s="4" t="s">
        <v>23</v>
      </c>
      <c r="E5" s="4" t="s">
        <v>18</v>
      </c>
      <c r="F5" s="5" t="s">
        <v>19</v>
      </c>
      <c r="G5" s="4" t="s">
        <v>24</v>
      </c>
      <c r="H5" s="4" t="s">
        <v>25</v>
      </c>
      <c r="I5" s="4" t="s">
        <v>26</v>
      </c>
    </row>
    <row r="6" spans="1:9" ht="33" customHeight="1" x14ac:dyDescent="0.25">
      <c r="A6" s="3">
        <v>4</v>
      </c>
      <c r="B6" s="7"/>
      <c r="C6" s="4" t="s">
        <v>27</v>
      </c>
      <c r="D6" s="4" t="s">
        <v>28</v>
      </c>
      <c r="E6" s="4" t="s">
        <v>18</v>
      </c>
      <c r="F6" s="5" t="s">
        <v>19</v>
      </c>
      <c r="G6" s="4" t="s">
        <v>29</v>
      </c>
      <c r="H6" s="4" t="s">
        <v>30</v>
      </c>
      <c r="I6" s="4" t="s">
        <v>31</v>
      </c>
    </row>
    <row r="7" spans="1:9" ht="93" customHeight="1" x14ac:dyDescent="0.25">
      <c r="A7" s="3">
        <v>5</v>
      </c>
      <c r="B7" s="7" t="s">
        <v>32</v>
      </c>
      <c r="C7" s="4" t="s">
        <v>33</v>
      </c>
      <c r="D7" s="4" t="s">
        <v>34</v>
      </c>
      <c r="E7" s="4" t="s">
        <v>33</v>
      </c>
      <c r="F7" s="5" t="s">
        <v>35</v>
      </c>
      <c r="G7" s="4" t="s">
        <v>36</v>
      </c>
      <c r="H7" s="4" t="s">
        <v>37</v>
      </c>
      <c r="I7" s="4" t="s">
        <v>38</v>
      </c>
    </row>
    <row r="8" spans="1:9" ht="33" customHeight="1" x14ac:dyDescent="0.25">
      <c r="A8" s="3">
        <v>6</v>
      </c>
      <c r="B8" s="7"/>
      <c r="C8" s="4" t="s">
        <v>33</v>
      </c>
      <c r="D8" s="4" t="s">
        <v>39</v>
      </c>
      <c r="E8" s="4" t="s">
        <v>33</v>
      </c>
      <c r="F8" s="5" t="s">
        <v>35</v>
      </c>
      <c r="G8" s="4" t="s">
        <v>40</v>
      </c>
      <c r="H8" s="4" t="s">
        <v>41</v>
      </c>
      <c r="I8" s="4" t="s">
        <v>42</v>
      </c>
    </row>
    <row r="9" spans="1:9" ht="48" customHeight="1" x14ac:dyDescent="0.25">
      <c r="A9" s="3">
        <v>7</v>
      </c>
      <c r="B9" s="7"/>
      <c r="C9" s="7" t="s">
        <v>43</v>
      </c>
      <c r="D9" s="4" t="s">
        <v>44</v>
      </c>
      <c r="E9" s="4" t="s">
        <v>45</v>
      </c>
      <c r="F9" s="5" t="s">
        <v>46</v>
      </c>
      <c r="G9" s="4" t="s">
        <v>47</v>
      </c>
      <c r="H9" s="4" t="s">
        <v>48</v>
      </c>
      <c r="I9" s="4" t="s">
        <v>49</v>
      </c>
    </row>
    <row r="10" spans="1:9" ht="93" customHeight="1" x14ac:dyDescent="0.25">
      <c r="A10" s="3">
        <v>8</v>
      </c>
      <c r="B10" s="7"/>
      <c r="C10" s="7"/>
      <c r="D10" s="4" t="s">
        <v>50</v>
      </c>
      <c r="E10" s="4" t="s">
        <v>45</v>
      </c>
      <c r="F10" s="5" t="s">
        <v>46</v>
      </c>
      <c r="G10" s="4" t="s">
        <v>51</v>
      </c>
      <c r="H10" s="4" t="s">
        <v>52</v>
      </c>
      <c r="I10" s="4" t="s">
        <v>53</v>
      </c>
    </row>
    <row r="11" spans="1:9" ht="33" customHeight="1" x14ac:dyDescent="0.25">
      <c r="A11" s="3">
        <v>9</v>
      </c>
      <c r="B11" s="7"/>
      <c r="C11" s="4" t="s">
        <v>54</v>
      </c>
      <c r="D11" s="4" t="s">
        <v>55</v>
      </c>
      <c r="E11" s="4" t="s">
        <v>56</v>
      </c>
      <c r="F11" s="5" t="s">
        <v>57</v>
      </c>
      <c r="G11" s="4" t="s">
        <v>58</v>
      </c>
      <c r="H11" s="4" t="s">
        <v>59</v>
      </c>
      <c r="I11" s="4" t="s">
        <v>60</v>
      </c>
    </row>
    <row r="12" spans="1:9" ht="33" customHeight="1" x14ac:dyDescent="0.25">
      <c r="A12" s="3">
        <v>10</v>
      </c>
      <c r="B12" s="7" t="s">
        <v>61</v>
      </c>
      <c r="C12" s="4" t="s">
        <v>62</v>
      </c>
      <c r="D12" s="4" t="s">
        <v>63</v>
      </c>
      <c r="E12" s="4" t="s">
        <v>61</v>
      </c>
      <c r="F12" s="5" t="s">
        <v>64</v>
      </c>
      <c r="G12" s="4" t="s">
        <v>65</v>
      </c>
      <c r="H12" s="4" t="s">
        <v>66</v>
      </c>
      <c r="I12" s="4" t="s">
        <v>67</v>
      </c>
    </row>
    <row r="13" spans="1:9" ht="33" customHeight="1" x14ac:dyDescent="0.25">
      <c r="A13" s="3">
        <v>11</v>
      </c>
      <c r="B13" s="7"/>
      <c r="C13" s="7" t="s">
        <v>62</v>
      </c>
      <c r="D13" s="4" t="s">
        <v>68</v>
      </c>
      <c r="E13" s="4" t="s">
        <v>61</v>
      </c>
      <c r="F13" s="5" t="s">
        <v>64</v>
      </c>
      <c r="G13" s="4" t="s">
        <v>69</v>
      </c>
      <c r="H13" s="4" t="s">
        <v>70</v>
      </c>
      <c r="I13" s="4" t="s">
        <v>71</v>
      </c>
    </row>
    <row r="14" spans="1:9" ht="33" customHeight="1" x14ac:dyDescent="0.25">
      <c r="A14" s="3">
        <v>12</v>
      </c>
      <c r="B14" s="7"/>
      <c r="C14" s="7"/>
      <c r="D14" s="4" t="s">
        <v>72</v>
      </c>
      <c r="E14" s="4" t="s">
        <v>61</v>
      </c>
      <c r="F14" s="5" t="s">
        <v>64</v>
      </c>
      <c r="G14" s="4" t="s">
        <v>73</v>
      </c>
      <c r="H14" s="4" t="s">
        <v>74</v>
      </c>
      <c r="I14" s="4" t="s">
        <v>75</v>
      </c>
    </row>
    <row r="15" spans="1:9" ht="33" customHeight="1" x14ac:dyDescent="0.25">
      <c r="A15" s="3">
        <v>13</v>
      </c>
      <c r="B15" s="7"/>
      <c r="C15" s="4" t="s">
        <v>54</v>
      </c>
      <c r="D15" s="4" t="s">
        <v>76</v>
      </c>
      <c r="E15" s="4" t="s">
        <v>56</v>
      </c>
      <c r="F15" s="5" t="s">
        <v>57</v>
      </c>
      <c r="G15" s="4" t="s">
        <v>77</v>
      </c>
      <c r="H15" s="4" t="s">
        <v>78</v>
      </c>
      <c r="I15" s="4" t="s">
        <v>79</v>
      </c>
    </row>
    <row r="16" spans="1:9" ht="63" customHeight="1" x14ac:dyDescent="0.25">
      <c r="A16" s="3">
        <v>14</v>
      </c>
      <c r="B16" s="7" t="s">
        <v>80</v>
      </c>
      <c r="C16" s="4" t="s">
        <v>81</v>
      </c>
      <c r="D16" s="4" t="s">
        <v>82</v>
      </c>
      <c r="E16" s="4" t="s">
        <v>80</v>
      </c>
      <c r="F16" s="5" t="s">
        <v>83</v>
      </c>
      <c r="G16" s="4" t="s">
        <v>84</v>
      </c>
      <c r="H16" s="4" t="s">
        <v>85</v>
      </c>
      <c r="I16" s="4" t="s">
        <v>86</v>
      </c>
    </row>
    <row r="17" spans="1:9" ht="48" customHeight="1" x14ac:dyDescent="0.25">
      <c r="A17" s="3">
        <v>15</v>
      </c>
      <c r="B17" s="7"/>
      <c r="C17" s="4" t="s">
        <v>81</v>
      </c>
      <c r="D17" s="4" t="s">
        <v>87</v>
      </c>
      <c r="E17" s="4" t="s">
        <v>80</v>
      </c>
      <c r="F17" s="5" t="s">
        <v>83</v>
      </c>
      <c r="G17" s="4" t="s">
        <v>88</v>
      </c>
      <c r="H17" s="4" t="s">
        <v>89</v>
      </c>
      <c r="I17" s="4" t="s">
        <v>90</v>
      </c>
    </row>
    <row r="18" spans="1:9" ht="33" customHeight="1" x14ac:dyDescent="0.25">
      <c r="A18" s="3">
        <v>16</v>
      </c>
      <c r="B18" s="7"/>
      <c r="C18" s="7" t="s">
        <v>91</v>
      </c>
      <c r="D18" s="4" t="s">
        <v>92</v>
      </c>
      <c r="E18" s="4" t="s">
        <v>80</v>
      </c>
      <c r="F18" s="5" t="s">
        <v>83</v>
      </c>
      <c r="G18" s="4" t="s">
        <v>93</v>
      </c>
      <c r="H18" s="4" t="s">
        <v>94</v>
      </c>
      <c r="I18" s="4" t="s">
        <v>95</v>
      </c>
    </row>
    <row r="19" spans="1:9" ht="33" customHeight="1" x14ac:dyDescent="0.25">
      <c r="A19" s="3">
        <v>17</v>
      </c>
      <c r="B19" s="7"/>
      <c r="C19" s="7"/>
      <c r="D19" s="4" t="s">
        <v>76</v>
      </c>
      <c r="E19" s="4" t="s">
        <v>56</v>
      </c>
      <c r="F19" s="5" t="s">
        <v>57</v>
      </c>
      <c r="G19" s="4" t="s">
        <v>96</v>
      </c>
      <c r="H19" s="4" t="s">
        <v>97</v>
      </c>
      <c r="I19" s="4" t="s">
        <v>98</v>
      </c>
    </row>
    <row r="20" spans="1:9" ht="48" customHeight="1" x14ac:dyDescent="0.25">
      <c r="A20" s="3">
        <v>18</v>
      </c>
      <c r="B20" s="7" t="s">
        <v>99</v>
      </c>
      <c r="C20" s="4" t="s">
        <v>100</v>
      </c>
      <c r="D20" s="4" t="s">
        <v>101</v>
      </c>
      <c r="E20" s="4" t="s">
        <v>102</v>
      </c>
      <c r="F20" s="5" t="s">
        <v>103</v>
      </c>
      <c r="G20" s="4" t="s">
        <v>104</v>
      </c>
      <c r="H20" s="4" t="s">
        <v>105</v>
      </c>
      <c r="I20" s="4" t="s">
        <v>106</v>
      </c>
    </row>
    <row r="21" spans="1:9" ht="33" customHeight="1" x14ac:dyDescent="0.25">
      <c r="A21" s="3">
        <v>19</v>
      </c>
      <c r="B21" s="7"/>
      <c r="C21" s="7" t="s">
        <v>107</v>
      </c>
      <c r="D21" s="4" t="s">
        <v>108</v>
      </c>
      <c r="E21" s="4" t="s">
        <v>102</v>
      </c>
      <c r="F21" s="5" t="s">
        <v>103</v>
      </c>
      <c r="G21" s="4" t="s">
        <v>109</v>
      </c>
      <c r="H21" s="4" t="s">
        <v>110</v>
      </c>
      <c r="I21" s="4" t="s">
        <v>111</v>
      </c>
    </row>
    <row r="22" spans="1:9" ht="33" customHeight="1" x14ac:dyDescent="0.25">
      <c r="A22" s="3">
        <v>20</v>
      </c>
      <c r="B22" s="7"/>
      <c r="C22" s="7"/>
      <c r="D22" s="4" t="s">
        <v>112</v>
      </c>
      <c r="E22" s="4" t="s">
        <v>102</v>
      </c>
      <c r="F22" s="5" t="s">
        <v>103</v>
      </c>
      <c r="G22" s="4" t="s">
        <v>113</v>
      </c>
      <c r="H22" s="4" t="s">
        <v>114</v>
      </c>
      <c r="I22" s="4" t="s">
        <v>115</v>
      </c>
    </row>
    <row r="23" spans="1:9" ht="33" customHeight="1" x14ac:dyDescent="0.25">
      <c r="A23" s="3">
        <v>21</v>
      </c>
      <c r="B23" s="7"/>
      <c r="C23" s="7"/>
      <c r="D23" s="4" t="s">
        <v>116</v>
      </c>
      <c r="E23" s="4" t="s">
        <v>102</v>
      </c>
      <c r="F23" s="5" t="s">
        <v>103</v>
      </c>
      <c r="G23" s="4" t="s">
        <v>113</v>
      </c>
      <c r="H23" s="4" t="s">
        <v>117</v>
      </c>
      <c r="I23" s="4" t="s">
        <v>111</v>
      </c>
    </row>
    <row r="24" spans="1:9" ht="33" customHeight="1" x14ac:dyDescent="0.25">
      <c r="A24" s="3">
        <v>22</v>
      </c>
      <c r="B24" s="7"/>
      <c r="C24" s="7"/>
      <c r="D24" s="4" t="s">
        <v>118</v>
      </c>
      <c r="E24" s="4" t="s">
        <v>102</v>
      </c>
      <c r="F24" s="5" t="s">
        <v>103</v>
      </c>
      <c r="G24" s="4" t="s">
        <v>119</v>
      </c>
      <c r="H24" s="4" t="s">
        <v>120</v>
      </c>
      <c r="I24" s="4" t="s">
        <v>121</v>
      </c>
    </row>
    <row r="25" spans="1:9" ht="30" customHeight="1" x14ac:dyDescent="0.25">
      <c r="A25" s="3">
        <v>23</v>
      </c>
      <c r="B25" s="7"/>
      <c r="C25" s="7"/>
      <c r="D25" s="4" t="s">
        <v>122</v>
      </c>
      <c r="E25" s="4" t="s">
        <v>102</v>
      </c>
      <c r="F25" s="5" t="s">
        <v>103</v>
      </c>
      <c r="G25" s="4" t="s">
        <v>113</v>
      </c>
      <c r="H25" s="4" t="s">
        <v>123</v>
      </c>
      <c r="I25" s="4" t="s">
        <v>111</v>
      </c>
    </row>
    <row r="26" spans="1:9" ht="33" customHeight="1" x14ac:dyDescent="0.25">
      <c r="A26" s="3">
        <v>24</v>
      </c>
      <c r="B26" s="7" t="s">
        <v>124</v>
      </c>
      <c r="C26" s="4" t="s">
        <v>125</v>
      </c>
      <c r="D26" s="4" t="s">
        <v>126</v>
      </c>
      <c r="E26" s="4" t="s">
        <v>124</v>
      </c>
      <c r="F26" s="5" t="s">
        <v>127</v>
      </c>
      <c r="G26" s="4" t="s">
        <v>128</v>
      </c>
      <c r="H26" s="4" t="s">
        <v>129</v>
      </c>
      <c r="I26" s="4" t="s">
        <v>130</v>
      </c>
    </row>
    <row r="27" spans="1:9" ht="30" customHeight="1" x14ac:dyDescent="0.25">
      <c r="A27" s="3">
        <v>25</v>
      </c>
      <c r="B27" s="7"/>
      <c r="C27" s="7" t="s">
        <v>125</v>
      </c>
      <c r="D27" s="4" t="s">
        <v>131</v>
      </c>
      <c r="E27" s="4" t="s">
        <v>124</v>
      </c>
      <c r="F27" s="5" t="s">
        <v>127</v>
      </c>
      <c r="G27" s="4" t="s">
        <v>132</v>
      </c>
      <c r="H27" s="4" t="s">
        <v>133</v>
      </c>
      <c r="I27" s="4" t="s">
        <v>134</v>
      </c>
    </row>
    <row r="28" spans="1:9" ht="30" customHeight="1" x14ac:dyDescent="0.25">
      <c r="A28" s="3">
        <v>26</v>
      </c>
      <c r="B28" s="7"/>
      <c r="C28" s="7"/>
      <c r="D28" s="4" t="s">
        <v>135</v>
      </c>
      <c r="E28" s="4" t="s">
        <v>124</v>
      </c>
      <c r="F28" s="5" t="s">
        <v>127</v>
      </c>
      <c r="G28" s="4" t="s">
        <v>132</v>
      </c>
      <c r="H28" s="4" t="s">
        <v>136</v>
      </c>
      <c r="I28" s="4" t="s">
        <v>137</v>
      </c>
    </row>
    <row r="29" spans="1:9" ht="33" customHeight="1" x14ac:dyDescent="0.25">
      <c r="A29" s="3">
        <v>27</v>
      </c>
      <c r="B29" s="7"/>
      <c r="C29" s="7"/>
      <c r="D29" s="4" t="s">
        <v>138</v>
      </c>
      <c r="E29" s="4" t="s">
        <v>124</v>
      </c>
      <c r="F29" s="5" t="s">
        <v>127</v>
      </c>
      <c r="G29" s="4" t="s">
        <v>139</v>
      </c>
      <c r="H29" s="4" t="s">
        <v>140</v>
      </c>
      <c r="I29" s="4" t="s">
        <v>141</v>
      </c>
    </row>
    <row r="30" spans="1:9" ht="33" customHeight="1" x14ac:dyDescent="0.25">
      <c r="A30" s="3">
        <v>28</v>
      </c>
      <c r="B30" s="7"/>
      <c r="C30" s="4" t="s">
        <v>142</v>
      </c>
      <c r="D30" s="4" t="s">
        <v>143</v>
      </c>
      <c r="E30" s="4" t="s">
        <v>124</v>
      </c>
      <c r="F30" s="5" t="s">
        <v>127</v>
      </c>
      <c r="G30" s="4" t="s">
        <v>144</v>
      </c>
      <c r="H30" s="4" t="s">
        <v>145</v>
      </c>
      <c r="I30" s="4" t="s">
        <v>146</v>
      </c>
    </row>
  </sheetData>
  <mergeCells count="12">
    <mergeCell ref="A1:I1"/>
    <mergeCell ref="B4:B6"/>
    <mergeCell ref="B7:B11"/>
    <mergeCell ref="C9:C10"/>
    <mergeCell ref="B12:B15"/>
    <mergeCell ref="C13:C14"/>
    <mergeCell ref="B16:B19"/>
    <mergeCell ref="C18:C19"/>
    <mergeCell ref="B20:B25"/>
    <mergeCell ref="C21:C25"/>
    <mergeCell ref="B26:B30"/>
    <mergeCell ref="C27:C2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mục mô đun</vt:lpstr>
      <vt:lpstr>Phân hệ chức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Hiếu Võ</dc:creator>
  <dc:description/>
  <cp:lastModifiedBy>Minh Hiếu Võ</cp:lastModifiedBy>
  <cp:revision>0</cp:revision>
  <dcterms:created xsi:type="dcterms:W3CDTF">2026-10-14T07:32:56Z</dcterms:created>
  <dcterms:modified xsi:type="dcterms:W3CDTF">2026-10-17T00:57:30Z</dcterms:modified>
  <dc:language>en-US</dc:language>
</cp:coreProperties>
</file>